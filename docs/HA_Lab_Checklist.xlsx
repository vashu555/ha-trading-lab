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A_Trading_Lab\docs\"/>
    </mc:Choice>
  </mc:AlternateContent>
  <xr:revisionPtr revIDLastSave="0" documentId="13_ncr:1_{0C124201-0CFB-447F-AA63-F5259D82F1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ecklist" sheetId="1" r:id="rId1"/>
    <sheet name="Progress" sheetId="2" r:id="rId2"/>
  </sheets>
  <definedNames>
    <definedName name="_xlnm._FilterDatabase" localSheetId="0" hidden="1">Checklist!$A$1:$L$75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E8" i="2" l="1"/>
  <c r="E9" i="2"/>
  <c r="E6" i="2"/>
  <c r="E10" i="2"/>
  <c r="E3" i="2"/>
  <c r="E11" i="2"/>
  <c r="D16" i="2"/>
  <c r="E4" i="2"/>
  <c r="E12" i="2"/>
  <c r="E5" i="2"/>
  <c r="E13" i="2"/>
  <c r="E14" i="2"/>
  <c r="E7" i="2"/>
  <c r="E15" i="2"/>
  <c r="C16" i="2"/>
  <c r="E16" i="2" l="1"/>
</calcChain>
</file>

<file path=xl/sharedStrings.xml><?xml version="1.0" encoding="utf-8"?>
<sst xmlns="http://schemas.openxmlformats.org/spreadsheetml/2006/main" count="345" uniqueCount="135">
  <si>
    <t>#</t>
  </si>
  <si>
    <t>Checkpoint</t>
  </si>
  <si>
    <t>Component</t>
  </si>
  <si>
    <t>Week</t>
  </si>
  <si>
    <t>Level</t>
  </si>
  <si>
    <t>Task</t>
  </si>
  <si>
    <t>Command / files</t>
  </si>
  <si>
    <t>Expected result</t>
  </si>
  <si>
    <t>Done</t>
  </si>
  <si>
    <t>Date</t>
  </si>
  <si>
    <t>Checked by</t>
  </si>
  <si>
    <t>Notes</t>
  </si>
  <si>
    <t>Own the lab</t>
  </si>
  <si>
    <t>Setup</t>
  </si>
  <si>
    <t>git init &amp;&amp; git add -A &amp;&amp; git commit -m "baseline": every experiment can be undone with git checkout .</t>
  </si>
  <si>
    <t>Start / stop / status: docker compose up -d · docker compose down · docker compose ps (38 running)</t>
  </si>
  <si>
    <t>Logs: docker compose logs -f router-1 · docker logs --since 5m hal-control</t>
  </si>
  <si>
    <t>Deploy one service: docker compose up -d --build --no-deps control</t>
  </si>
  <si>
    <t>Read How Every Part Works once, end to end</t>
  </si>
  <si>
    <t>Pass</t>
  </si>
  <si>
    <t>Restart the whole lab from zero and reach "audit all 0" without help.</t>
  </si>
  <si>
    <t>HAProxy</t>
  </si>
  <si>
    <t>1 Explain</t>
  </si>
  <si>
    <t>Answer in your own words:
- Why round robin?
- What do fall 2 rise 2 mean?
- What do retries and redispatch do?</t>
  </si>
  <si>
    <t>2 Inspect</t>
  </si>
  <si>
    <t>Run and read the output</t>
  </si>
  <si>
    <t>docker exec hal-haproxy-1 sh -c "wget -qO- 'http://127.0.0.1:8404/stats;csv' | cut -d, -f1,2,18"</t>
  </si>
  <si>
    <t>3 Break</t>
  </si>
  <si>
    <t>Write your prediction first, then run</t>
  </si>
  <si>
    <t>docker stop hal-api-2</t>
  </si>
  <si>
    <t>marked DOWN within ~2 s; traders unaffected; audit 0</t>
  </si>
  <si>
    <t>4 Read</t>
  </si>
  <si>
    <t>Explain each file / function</t>
  </si>
  <si>
    <t>config/haproxy-edge.cfg (every line)</t>
  </si>
  <si>
    <t>5 Change</t>
  </si>
  <si>
    <t>Set inter 1s → inter 3s, redeploy, measure the slower detection, revert.</t>
  </si>
  <si>
    <t>Audit stays 0; revert with git</t>
  </si>
  <si>
    <t>API servers</t>
  </si>
  <si>
    <t>Answer in your own words:
- Why does ONE transaction write the order and the outbox?
- What does client_ref protect against?
- Why is the login token stateless?</t>
  </si>
  <si>
    <t>docker logs --since 2m hal-api-1</t>
  </si>
  <si>
    <t>docker kill hal-api-3</t>
  </si>
  <si>
    <t>a few trader errors in the last 10 s, all recovered by retry; lost = 0</t>
  </si>
  <si>
    <t>app/api.py: place_order, cancel_order, make_token / verify_token, best_effort, tick_loop, main (drain)</t>
  </si>
  <si>
    <t>Lower STALE_AFTER in app/common.py from 3 s to 1 s; watch "refused (stale)" rise; revert.</t>
  </si>
  <si>
    <t>PostgreSQL + Patroni + etcd</t>
  </si>
  <si>
    <t>Answer in your own words:
- Why quorum commit?
- Why a 20 s leader-key TTL?
- Why refuse to run with one node left?
- What does pg_rewind do?</t>
  </si>
  <si>
    <t>docker exec hal-pg-1 curl -s localhost:8008/cluster
docker exec hal-etcd-1 etcdctl endpoint status --cluster -w table
docker exec -it hal-pg-1 psql -U postgres -d trading      (explore every table in app/schema.sql)</t>
  </si>
  <si>
    <t>docker kill hal-pg-1        # use the node the inspect command shows as leader</t>
  </si>
  <si>
    <t>~20 s of "try again", then a new leader; lost = 0</t>
  </si>
  <si>
    <t>docker stop hal-pg-2 hal-pg-3</t>
  </si>
  <si>
    <t>DATABASE DOWN and NO promotion: explain why</t>
  </si>
  <si>
    <t>docker kill hal-etcd-3      # use the endpoint with IS LEADER = true</t>
  </si>
  <si>
    <t>new etcd leader in ~2 s; the database keeps working</t>
  </si>
  <si>
    <t>images/postgres/patroni.yml (every line)
images/postgres/post_bootstrap.sh
images/postgres/pgbackrest.conf</t>
  </si>
  <si>
    <t>Restore drill: restore the latest backup into a spare test container (never the live cluster) and state the RPO.</t>
  </si>
  <si>
    <t>PgBouncer</t>
  </si>
  <si>
    <t>Answer in your own words:
- Transaction vs session pooling
- Why prepared statements are disabled
- How the built-in HAProxy follows the leader</t>
  </si>
  <si>
    <t>docker exec -e PGPASSWORD=apppass hal-pg-1 psql -h pgbouncer-1 -p 6432 -U app pgbouncer -c "show pools"</t>
  </si>
  <si>
    <t>docker stop hal-pgbouncer-1</t>
  </si>
  <si>
    <t>apps switch to pgbouncer-2; nothing noticed</t>
  </si>
  <si>
    <t>images/pgbouncer/pgbouncer.ini
images/pgbouncer/haproxy-pg.cfg
app/common.py: dsn()</t>
  </si>
  <si>
    <t>Set default_pool_size 15 → 3; watch cl_waiting rise under load; revert.</t>
  </si>
  <si>
    <t>Outbox + Relay</t>
  </si>
  <si>
    <t>Answer in your own words:
- What breaks if the API publishes to Kafka directly?
- Why FOR UPDATE SKIP LOCKED?
- Why can a message be sent twice, and why is that fine?</t>
  </si>
  <si>
    <t>docker exec hal-pg-1 psql -U postgres -d trading -c "select count(*) filter (where published_at is null) unsent, count(*) total from outbox"</t>
  </si>
  <si>
    <t>docker stop hal-relay-1 hal-relay-2   # 30 s later: docker start hal-relay-1 hal-relay-2</t>
  </si>
  <si>
    <t>unsent grows, then drains to ~0; nothing lost</t>
  </si>
  <si>
    <t>app/relay.py (whole file)</t>
  </si>
  <si>
    <t>Write an outbox cleanup job: delete published rows older than 1 day (the table is 728 MB today).</t>
  </si>
  <si>
    <t>Kafka</t>
  </si>
  <si>
    <t>Answer in your own words:
- Partition, leader, ISR, consumer group, offset
- acks=all + min.insync.replicas=2
- Why are the price lines single-copy on purpose?</t>
  </si>
  <si>
    <t>docker exec hal-kafka-1 /opt/kafka/bin/kafka-topics.sh --bootstrap-server localhost:9092 --describe --topic orders.submit
docker exec hal-kafka-1 /opt/kafka/bin/kafka-consumer-groups.sh --bootstrap-server localhost:9092 --describe --group notify-bridge</t>
  </si>
  <si>
    <t>docker kill hal-kafka-1     # the broker leading the most partitions</t>
  </si>
  <si>
    <t>new leaders in 0.5–3 s; price gap &lt; 0.2 s</t>
  </si>
  <si>
    <t>docker stop hal-kafka-1 hal-kafka-2</t>
  </si>
  <si>
    <t>producers stop (ISR &lt; 2), outbox backlog grows, nothing lost</t>
  </si>
  <si>
    <t>docker-compose.yml (Kafka environment)
app/common.py: producer_conf, TICK_TOPICS
app/control.py: bootstrap (topic creation)</t>
  </si>
  <si>
    <t>Create a test topic (3 partitions, RF 3), produce to it and read it back with the console consumer.</t>
  </si>
  <si>
    <t>Order router</t>
  </si>
  <si>
    <t>Answer in your own words:
- Lease, epoch, fencing
- Why the router stops itself after 2 s without renewing
- What reconcile does
- Why the fill id is a database key</t>
  </si>
  <si>
    <t>docker exec hal-pg-1 psql -U postgres -d trading -c "select * from router_lease" -c "select * from router_state"</t>
  </si>
  <si>
    <t>docker kill hal-router-1    # the holder shown in router_lease</t>
  </si>
  <si>
    <t>epoch +1, takeover in ~3–4 s, reconcile runs; sent twice = 0</t>
  </si>
  <si>
    <t>docker pause hal-router-1; sleep 10; docker unpause hal-router-1</t>
  </si>
  <si>
    <t>the old router wakes up fenced; its writes are rejected (split-brain test)</t>
  </si>
  <si>
    <t>app/router.py: lease_loop, active_epoch, fenced, send, claim, sweep, reconcile, apply, exec_loop, END_OF_SESSION (read twice)</t>
  </si>
  <si>
    <t>Log every write that fenced() rejects; repeat the pause test and find the line in the logs.</t>
  </si>
  <si>
    <t>Feed + price lines</t>
  </si>
  <si>
    <t>Answer in your own words:
- Why two independent lines?
- Why (boot, seq)?
- What resync() fixes</t>
  </si>
  <si>
    <t>Dashboard: Prices panel (tick gap)
docker logs --since 1m hal-feed-1</t>
  </si>
  <si>
    <t>docker stop hal-feed-1 &amp;&amp; docker restart hal-exchange</t>
  </si>
  <si>
    <t>prices continue on line B; both feeds resync</t>
  </si>
  <si>
    <t>app/feed.py
app/api.py: tick_loop</t>
  </si>
  <si>
    <t>Show the per-line tick rate on the dashboard's Prices panel.</t>
  </si>
  <si>
    <t>Bridge → RabbitMQ → Worker</t>
  </si>
  <si>
    <t>Answer in your own words:
- Kafka vs RabbitMQ
- Publisher confirms and manual ack
- Quorum queue, dead-letter queue, pause_minority</t>
  </si>
  <si>
    <t>docker exec hal-rabbit-1 rabbitmqctl -q list_queues name type leader members messages consumers</t>
  </si>
  <si>
    <t>docker kill hal-rabbit-3    # the leader shown by list_queues</t>
  </si>
  <si>
    <t>leader moves in &lt; 1 s; notifications missing = 0</t>
  </si>
  <si>
    <t>docker stop hal-worker-1 hal-worker-2   # 30 s later: docker start hal-worker-1 hal-worker-2</t>
  </si>
  <si>
    <t>messages grows, then drains when they return</t>
  </si>
  <si>
    <t>app/bridge.py
app/worker.py
config/rabbitmq.conf
app/control.py: bootstrap (RabbitMQ part)</t>
  </si>
  <si>
    <t>Publish one malformed message by hand and watch it reach notifications.dlq after 5 tries.</t>
  </si>
  <si>
    <t>Redis + Sentinel</t>
  </si>
  <si>
    <t>Answer in your own words:
- Why Redis may fail without stopping trading
- Sentinel quorum 2, down-after 3000 ms
- AOF persistence</t>
  </si>
  <si>
    <t>docker exec hal-sentinel-1 redis-cli -p 26379 sentinel get-master-addr-by-name lab
docker exec hal-redis-1 redis-cli role</t>
  </si>
  <si>
    <t>docker kill hal-redis-3     # the master Sentinel reports</t>
  </si>
  <si>
    <t>new master in 4–5 s</t>
  </si>
  <si>
    <t>docker stop hal-redis-1 hal-redis-2 hal-redis-3</t>
  </si>
  <si>
    <t>trading continues; the circuit breaker skips Redis</t>
  </si>
  <si>
    <t>config/redis-entry.sh
config/sentinel-entry.sh
app/api.py: best_effort, rate_limited</t>
  </si>
  <si>
    <t>Make Sentinel's down-after 5 s, redeploy, and re-measure the failover time; revert.</t>
  </si>
  <si>
    <t>Control, audit and dashboard</t>
  </si>
  <si>
    <t>Answer in your own words:
- Every audit check: what it compares and why it proves "nothing lost"
- Why the trader-errors tile returns to 0 after 10 s</t>
  </si>
  <si>
    <t>curl -s http://127.0.0.1:9700/api/state      (the audit and trader counters)</t>
  </si>
  <si>
    <t>docker stop hal-control</t>
  </si>
  <si>
    <t>the dashboard goes away; trading and failover carry on</t>
  </si>
  <si>
    <t>app/control.py: Trader, audit_once, detect_events, chaos, autoheal_loop, backup_loop
app/ui/index.html: tiles()</t>
  </si>
  <si>
    <t>Add an audit check "no order filled beyond its quantity" as a dashboard tile.</t>
  </si>
  <si>
    <t>Final</t>
  </si>
  <si>
    <t>Guarantee</t>
  </si>
  <si>
    <t>Trace one real order end to end: its rows in orders, outbox, fills and notifications, its Kafka message and its exchange fill; explain every timestamp (guide, section 4).</t>
  </si>
  <si>
    <t>Run every drill in the guide's test catalogue (section 7.4): write the prediction first, then compare. All audits 0.</t>
  </si>
  <si>
    <t>Take a whole zone down and back up; explain every line of the event timeline.</t>
  </si>
  <si>
    <t>Rebuild from nothing: docker compose down -v, start again, reach "audit all 0". Warning: -v deletes every volume, including the database and the backups: do it last, after the restore drill.</t>
  </si>
  <si>
    <t>Restore drill: restore from a backup; state the RPO and RTO you measured.</t>
  </si>
  <si>
    <t>Explain the limits: what the lab does not prove yet (real latency, network cuts, disk loss, 10× load).</t>
  </si>
  <si>
    <t>Teach it: walk someone through How Every Part Works and demo a database failover live.</t>
  </si>
  <si>
    <t>Tasks</t>
  </si>
  <si>
    <t>% done</t>
  </si>
  <si>
    <t>How to use: fill Done (Yes/No), Date and Checked by on the Checklist sheet; this sheet updates itself.</t>
  </si>
  <si>
    <t>Total</t>
  </si>
  <si>
    <t>Yes</t>
  </si>
  <si>
    <t>ROUND ROBIN -- ONE BY ONE -----CHECK TWO TIME BEFORE ANSWERING ------RETRY MEANS AUTOMATICALLY RETRYING BEFORE INFORMING USER AND REDISPATCH IS SWITCHING TO ANOTHER API</t>
  </si>
  <si>
    <t>Header comment
# Edge load balancer (haproxy-1 in Azure zone 1, haproxy-2 in Azure zone 2). Traders know both addresses.
A comment (#), ignored by HAProxy. It says this one file is used by both HAProxys.
global: settings for the whole HAProxy process
Line	Meaning
global	starts the process-wide section
maxconn 2000	at most 2000 connections open at the same time; more wait in a queue. This protects HAProxy from overload
defaults: settings every section below inherits
Line	Meaning
defaults	starts the defaults section
mode http	work at layer 7: read each HTTP request (path, status). Needed for health checks by URL and for retrying requests
timeout connect 2s	if a TCP connection to an API can't be made within 2 s, treat it as failed
timeout client 30s	if a trader's connection is silent for 30 s, close it
timeout server 10s	how long to wait for an API to answer (the backend below lowers this to 5 s)
option http-server-close	close the HAProxy→API connection after each response, so every request can go to a different API and retries can use a fresh one
resolvers docker: how to turn names like api-1 into IP addresses
Line	Meaning
resolvers docker	defines a DNS setup named "docker"
nameserver dns 127.0.0.11:53	ask Docker's built-in DNS (always at 127.0.0.11 inside a container)
resolve_retries 2	if DNS doesn't answer, ask up to 2 times
timeout resolve 1s	look the names up again every 1 s, so a restarted API with a new IP is found quickly
hold valid 2s	keep using a good answer for 2 s
hold nx 1s	if DNS says "no such name" (the container is gone), keep the old IP only 1 s more, then treat the server as unreachable
hold other 1s	the same for other DNS errors
frontend web: the door traders connect to
Line	Meaning
frontend web	a listener named "web" (that's the web,FRONTEND,OPEN you saw)
bind :8080	listen on port 8080 on all of this container's IPs
default_backend apis	send every request to the group named "apis"
backend apis: the group of API servers and how to use them
Line	Meaning
backend apis	the group named "apis"
balance roundrobin	take turns: api-1, api-2, api-3, api-4, api-1…
option httpchk GET /health	the health check is an HTTP GET /health; any 2xx/3xx answer = healthy. An API that is shutting down answers 503, so it's taken out
# Retry on another… (2 comment lines)	explains why retrying is safe: orders carry a client_ref, so a resend can't make a second order
retries 2	a failed request is tried up to 2 more times
retry-on conn-failure empty-response response-timeout	retry only when: it couldn't connect, the API closed without answering, or it didn't answer in time
option redispatch 1	send every retry to a different API (the 1 = on every retry)
timeout server 5s	in this group, an API must answer within 5 s (overrides the 10 s default)
default-server inter 1s fall 2 rise 2 resolvers docker init-addr none	settings for each server line below: health check every 1 s; 2 fails = DOWN; 2 OKs = UP; find the IP through the "docker" resolver; init-addr none = start even if an API's name can't be found yet (e.g. it's still booting)
server api-1 api-1:8000 check	an API server: name api-1, address api-1 port 8000, check = health-check it
server api-2 … / api-3 / api-4	the same for the other three
listen stats: the status page
Line	Meaning
listen stats	listen = a frontend and backend in one; named "stats"
bind :8404	listen on port 8404
stats enable	turn on HAProxy's built-in status page
stats uri /stats	it's at /stats (you read it with /stats;csv)
stats refresh 2s	the page auto-refreshes every 2 s in a browser
In one line: traders connect on 8080, HAProxy takes turns across 4 APIs it health-checks every second, retries a failed request on another API, finds the APIs by name through Docker's DNS, and shows its view on 8404/stats.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</si>
</sst>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9"/>
      <name val="Arial"/>
    </font>
    <font>
      <sz val="9"/>
      <name val="Consolas"/>
    </font>
    <font>
      <i/>
      <sz val="9"/>
      <color rgb="FF595959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7" fillId="2" borderId="0" xfId="0" applyFont="1" applyFill="1"/>
    <xf numFmtId="0" fontId="6" fillId="0" borderId="0" xfId="0" applyFont="1"/>
    <xf numFmtId="9" fontId="6" fillId="0" borderId="0" xfId="0" applyNumberFormat="1" applyFont="1"/>
    <xf numFmtId="0" fontId="5" fillId="0" borderId="0" xfId="0" applyFont="1"/>
    <xf numFmtId="9" fontId="5" fillId="0" borderId="0" xfId="0" applyNumberFormat="1" applyFont="1"/>
    <xf numFmtId="0" fontId="4" fillId="0" borderId="0" xfId="0" applyFont="1"/>
    <xf numFmtId="0" fontId="0" fillId="0" borderId="0" xfId="0"/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abSelected="1" workbookViewId="0">
      <pane ySplit="1" topLeftCell="A26" activePane="bottomLeft" state="frozen"/>
      <selection pane="bottomLeft" activeCell="G30" sqref="G30"/>
    </sheetView>
  </sheetViews>
  <sheetFormatPr defaultRowHeight="15" x14ac:dyDescent="0.25"/>
  <cols>
    <col min="1" max="1" width="5" customWidth="1"/>
    <col min="2" max="2" width="11" customWidth="1"/>
    <col min="3" max="3" width="24" customWidth="1"/>
    <col min="4" max="4" width="7" customWidth="1"/>
    <col min="5" max="5" width="11" customWidth="1"/>
    <col min="6" max="6" width="48" customWidth="1"/>
    <col min="7" max="7" width="58" customWidth="1"/>
    <col min="8" max="8" width="34" customWidth="1"/>
    <col min="9" max="9" width="8" customWidth="1"/>
    <col min="10" max="10" width="12" customWidth="1"/>
    <col min="11" max="11" width="14" customWidth="1"/>
    <col min="12" max="12" width="24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4" x14ac:dyDescent="0.25">
      <c r="A2" s="2">
        <v>1</v>
      </c>
      <c r="B2" s="2">
        <v>0</v>
      </c>
      <c r="C2" s="2" t="s">
        <v>12</v>
      </c>
      <c r="D2" s="2">
        <v>1</v>
      </c>
      <c r="E2" s="2" t="s">
        <v>13</v>
      </c>
      <c r="F2" s="2" t="s">
        <v>14</v>
      </c>
      <c r="G2" s="3"/>
      <c r="H2" s="2"/>
      <c r="I2" s="2" t="s">
        <v>132</v>
      </c>
      <c r="J2" s="4"/>
      <c r="K2" s="2"/>
      <c r="L2" s="2"/>
    </row>
    <row r="3" spans="1:12" ht="24" x14ac:dyDescent="0.25">
      <c r="A3" s="2">
        <v>2</v>
      </c>
      <c r="B3" s="2">
        <v>0</v>
      </c>
      <c r="C3" s="2" t="s">
        <v>12</v>
      </c>
      <c r="D3" s="2">
        <v>1</v>
      </c>
      <c r="E3" s="2" t="s">
        <v>13</v>
      </c>
      <c r="F3" s="2" t="s">
        <v>15</v>
      </c>
      <c r="G3" s="3"/>
      <c r="H3" s="2"/>
      <c r="I3" s="2" t="s">
        <v>132</v>
      </c>
      <c r="J3" s="4"/>
      <c r="K3" s="2"/>
      <c r="L3" s="2"/>
    </row>
    <row r="4" spans="1:12" ht="24" x14ac:dyDescent="0.25">
      <c r="A4" s="2">
        <v>3</v>
      </c>
      <c r="B4" s="2">
        <v>0</v>
      </c>
      <c r="C4" s="2" t="s">
        <v>12</v>
      </c>
      <c r="D4" s="2">
        <v>1</v>
      </c>
      <c r="E4" s="2" t="s">
        <v>13</v>
      </c>
      <c r="F4" s="2" t="s">
        <v>16</v>
      </c>
      <c r="G4" s="3"/>
      <c r="H4" s="2"/>
      <c r="I4" s="2" t="s">
        <v>132</v>
      </c>
      <c r="J4" s="4"/>
      <c r="K4" s="2"/>
      <c r="L4" s="2"/>
    </row>
    <row r="5" spans="1:12" ht="24" x14ac:dyDescent="0.25">
      <c r="A5" s="2">
        <v>4</v>
      </c>
      <c r="B5" s="2">
        <v>0</v>
      </c>
      <c r="C5" s="2" t="s">
        <v>12</v>
      </c>
      <c r="D5" s="2">
        <v>1</v>
      </c>
      <c r="E5" s="2" t="s">
        <v>13</v>
      </c>
      <c r="F5" s="2" t="s">
        <v>17</v>
      </c>
      <c r="G5" s="3"/>
      <c r="H5" s="2"/>
      <c r="I5" s="2" t="s">
        <v>132</v>
      </c>
      <c r="J5" s="4"/>
      <c r="K5" s="2"/>
      <c r="L5" s="2"/>
    </row>
    <row r="6" spans="1:12" x14ac:dyDescent="0.25">
      <c r="A6" s="2">
        <v>5</v>
      </c>
      <c r="B6" s="2">
        <v>0</v>
      </c>
      <c r="C6" s="2" t="s">
        <v>12</v>
      </c>
      <c r="D6" s="2">
        <v>1</v>
      </c>
      <c r="E6" s="2" t="s">
        <v>13</v>
      </c>
      <c r="F6" s="2" t="s">
        <v>18</v>
      </c>
      <c r="G6" s="3"/>
      <c r="H6" s="2"/>
      <c r="I6" s="2" t="s">
        <v>132</v>
      </c>
      <c r="J6" s="4"/>
      <c r="K6" s="2"/>
      <c r="L6" s="2"/>
    </row>
    <row r="7" spans="1:12" ht="24" x14ac:dyDescent="0.25">
      <c r="A7" s="2">
        <v>6</v>
      </c>
      <c r="B7" s="2">
        <v>0</v>
      </c>
      <c r="C7" s="2" t="s">
        <v>12</v>
      </c>
      <c r="D7" s="2">
        <v>1</v>
      </c>
      <c r="E7" s="2" t="s">
        <v>19</v>
      </c>
      <c r="F7" s="2" t="s">
        <v>20</v>
      </c>
      <c r="G7" s="3"/>
      <c r="H7" s="2"/>
      <c r="I7" s="2" t="s">
        <v>132</v>
      </c>
      <c r="J7" s="4"/>
      <c r="K7" s="2"/>
      <c r="L7" s="2"/>
    </row>
    <row r="8" spans="1:12" ht="120" x14ac:dyDescent="0.25">
      <c r="A8" s="2">
        <v>7</v>
      </c>
      <c r="B8" s="2">
        <v>1</v>
      </c>
      <c r="C8" s="2" t="s">
        <v>21</v>
      </c>
      <c r="D8" s="2">
        <v>1</v>
      </c>
      <c r="E8" s="2" t="s">
        <v>22</v>
      </c>
      <c r="F8" s="2" t="s">
        <v>23</v>
      </c>
      <c r="G8" s="3"/>
      <c r="H8" s="2"/>
      <c r="I8" s="2" t="s">
        <v>132</v>
      </c>
      <c r="J8" s="4">
        <v>46318</v>
      </c>
      <c r="K8" s="2"/>
      <c r="L8" s="12" t="s">
        <v>133</v>
      </c>
    </row>
    <row r="9" spans="1:12" ht="24" x14ac:dyDescent="0.25">
      <c r="A9" s="2">
        <v>8</v>
      </c>
      <c r="B9" s="2">
        <v>1</v>
      </c>
      <c r="C9" s="2" t="s">
        <v>21</v>
      </c>
      <c r="D9" s="2">
        <v>1</v>
      </c>
      <c r="E9" s="2" t="s">
        <v>24</v>
      </c>
      <c r="F9" s="2" t="s">
        <v>25</v>
      </c>
      <c r="G9" s="3" t="s">
        <v>26</v>
      </c>
      <c r="H9" s="2"/>
      <c r="I9" s="2" t="s">
        <v>132</v>
      </c>
      <c r="J9" s="4"/>
      <c r="K9" s="2"/>
      <c r="L9" s="2"/>
    </row>
    <row r="10" spans="1:12" ht="24" x14ac:dyDescent="0.25">
      <c r="A10" s="2">
        <v>9</v>
      </c>
      <c r="B10" s="2">
        <v>1</v>
      </c>
      <c r="C10" s="2" t="s">
        <v>21</v>
      </c>
      <c r="D10" s="2">
        <v>1</v>
      </c>
      <c r="E10" s="2" t="s">
        <v>27</v>
      </c>
      <c r="F10" s="2" t="s">
        <v>28</v>
      </c>
      <c r="G10" s="3" t="s">
        <v>29</v>
      </c>
      <c r="H10" s="2" t="s">
        <v>30</v>
      </c>
      <c r="I10" s="2" t="s">
        <v>132</v>
      </c>
      <c r="J10" s="4"/>
      <c r="K10" s="2"/>
      <c r="L10" s="2"/>
    </row>
    <row r="11" spans="1:12" ht="69" customHeight="1" x14ac:dyDescent="0.25">
      <c r="A11" s="2">
        <v>10</v>
      </c>
      <c r="B11" s="2">
        <v>1</v>
      </c>
      <c r="C11" s="2" t="s">
        <v>21</v>
      </c>
      <c r="D11" s="2">
        <v>1</v>
      </c>
      <c r="E11" s="2" t="s">
        <v>31</v>
      </c>
      <c r="F11" s="2" t="s">
        <v>32</v>
      </c>
      <c r="G11" s="3" t="s">
        <v>33</v>
      </c>
      <c r="H11" s="2"/>
      <c r="I11" s="2" t="s">
        <v>132</v>
      </c>
      <c r="J11" s="4"/>
      <c r="K11" s="2"/>
      <c r="L11" s="12" t="s">
        <v>134</v>
      </c>
    </row>
    <row r="12" spans="1:12" ht="24" x14ac:dyDescent="0.25">
      <c r="A12" s="2">
        <v>11</v>
      </c>
      <c r="B12" s="2">
        <v>1</v>
      </c>
      <c r="C12" s="2" t="s">
        <v>21</v>
      </c>
      <c r="D12" s="2">
        <v>1</v>
      </c>
      <c r="E12" s="2" t="s">
        <v>34</v>
      </c>
      <c r="F12" s="2" t="s">
        <v>35</v>
      </c>
      <c r="G12" s="3"/>
      <c r="H12" s="2" t="s">
        <v>36</v>
      </c>
      <c r="I12" s="2" t="s">
        <v>132</v>
      </c>
      <c r="J12" s="4"/>
      <c r="K12" s="2"/>
      <c r="L12" s="2"/>
    </row>
    <row r="13" spans="1:12" ht="60" x14ac:dyDescent="0.25">
      <c r="A13" s="2">
        <v>12</v>
      </c>
      <c r="B13" s="2">
        <v>2</v>
      </c>
      <c r="C13" s="2" t="s">
        <v>37</v>
      </c>
      <c r="D13" s="2">
        <v>1</v>
      </c>
      <c r="E13" s="2" t="s">
        <v>22</v>
      </c>
      <c r="F13" s="2" t="s">
        <v>38</v>
      </c>
      <c r="G13" s="3"/>
      <c r="H13" s="2"/>
      <c r="I13" s="2" t="s">
        <v>132</v>
      </c>
      <c r="J13" s="4"/>
      <c r="K13" s="2"/>
      <c r="L13" s="2"/>
    </row>
    <row r="14" spans="1:12" x14ac:dyDescent="0.25">
      <c r="A14" s="2">
        <v>13</v>
      </c>
      <c r="B14" s="2">
        <v>2</v>
      </c>
      <c r="C14" s="2" t="s">
        <v>37</v>
      </c>
      <c r="D14" s="2">
        <v>1</v>
      </c>
      <c r="E14" s="2" t="s">
        <v>24</v>
      </c>
      <c r="F14" s="2" t="s">
        <v>25</v>
      </c>
      <c r="G14" s="3" t="s">
        <v>39</v>
      </c>
      <c r="H14" s="2"/>
      <c r="I14" s="2" t="s">
        <v>132</v>
      </c>
      <c r="J14" s="4"/>
      <c r="K14" s="2"/>
      <c r="L14" s="2"/>
    </row>
    <row r="15" spans="1:12" ht="24" x14ac:dyDescent="0.25">
      <c r="A15" s="2">
        <v>14</v>
      </c>
      <c r="B15" s="2">
        <v>2</v>
      </c>
      <c r="C15" s="2" t="s">
        <v>37</v>
      </c>
      <c r="D15" s="2">
        <v>1</v>
      </c>
      <c r="E15" s="2" t="s">
        <v>27</v>
      </c>
      <c r="F15" s="2" t="s">
        <v>28</v>
      </c>
      <c r="G15" s="3" t="s">
        <v>40</v>
      </c>
      <c r="H15" s="2" t="s">
        <v>41</v>
      </c>
      <c r="I15" s="2" t="s">
        <v>132</v>
      </c>
      <c r="J15" s="4"/>
      <c r="K15" s="2"/>
      <c r="L15" s="2"/>
    </row>
    <row r="16" spans="1:12" ht="24" x14ac:dyDescent="0.25">
      <c r="A16" s="2">
        <v>15</v>
      </c>
      <c r="B16" s="2">
        <v>2</v>
      </c>
      <c r="C16" s="2" t="s">
        <v>37</v>
      </c>
      <c r="D16" s="2">
        <v>1</v>
      </c>
      <c r="E16" s="2" t="s">
        <v>31</v>
      </c>
      <c r="F16" s="2" t="s">
        <v>32</v>
      </c>
      <c r="G16" s="3" t="s">
        <v>42</v>
      </c>
      <c r="H16" s="2"/>
      <c r="I16" s="2"/>
      <c r="J16" s="4"/>
      <c r="K16" s="2"/>
      <c r="L16" s="2"/>
    </row>
    <row r="17" spans="1:12" ht="24" x14ac:dyDescent="0.25">
      <c r="A17" s="2">
        <v>16</v>
      </c>
      <c r="B17" s="2">
        <v>2</v>
      </c>
      <c r="C17" s="2" t="s">
        <v>37</v>
      </c>
      <c r="D17" s="2">
        <v>1</v>
      </c>
      <c r="E17" s="2" t="s">
        <v>34</v>
      </c>
      <c r="F17" s="2" t="s">
        <v>43</v>
      </c>
      <c r="G17" s="3"/>
      <c r="H17" s="2" t="s">
        <v>36</v>
      </c>
      <c r="I17" s="2"/>
      <c r="J17" s="4"/>
      <c r="K17" s="2"/>
      <c r="L17" s="2"/>
    </row>
    <row r="18" spans="1:12" ht="60" x14ac:dyDescent="0.25">
      <c r="A18" s="2">
        <v>17</v>
      </c>
      <c r="B18" s="2">
        <v>3</v>
      </c>
      <c r="C18" s="2" t="s">
        <v>44</v>
      </c>
      <c r="D18" s="2">
        <v>2</v>
      </c>
      <c r="E18" s="2" t="s">
        <v>22</v>
      </c>
      <c r="F18" s="2" t="s">
        <v>45</v>
      </c>
      <c r="G18" s="3"/>
      <c r="H18" s="2"/>
      <c r="I18" s="2"/>
      <c r="J18" s="4"/>
      <c r="K18" s="2"/>
      <c r="L18" s="2"/>
    </row>
    <row r="19" spans="1:12" ht="60" x14ac:dyDescent="0.25">
      <c r="A19" s="2">
        <v>18</v>
      </c>
      <c r="B19" s="2">
        <v>3</v>
      </c>
      <c r="C19" s="2" t="s">
        <v>44</v>
      </c>
      <c r="D19" s="2">
        <v>2</v>
      </c>
      <c r="E19" s="2" t="s">
        <v>24</v>
      </c>
      <c r="F19" s="2" t="s">
        <v>25</v>
      </c>
      <c r="G19" s="3" t="s">
        <v>46</v>
      </c>
      <c r="H19" s="2"/>
      <c r="I19" s="2"/>
      <c r="J19" s="4"/>
      <c r="K19" s="2"/>
      <c r="L19" s="2"/>
    </row>
    <row r="20" spans="1:12" ht="24" x14ac:dyDescent="0.25">
      <c r="A20" s="2">
        <v>19</v>
      </c>
      <c r="B20" s="2">
        <v>3</v>
      </c>
      <c r="C20" s="2" t="s">
        <v>44</v>
      </c>
      <c r="D20" s="2">
        <v>2</v>
      </c>
      <c r="E20" s="2" t="s">
        <v>27</v>
      </c>
      <c r="F20" s="2" t="s">
        <v>28</v>
      </c>
      <c r="G20" s="3" t="s">
        <v>47</v>
      </c>
      <c r="H20" s="2" t="s">
        <v>48</v>
      </c>
      <c r="I20" s="2"/>
      <c r="J20" s="4"/>
      <c r="K20" s="2"/>
      <c r="L20" s="2"/>
    </row>
    <row r="21" spans="1:12" ht="24" x14ac:dyDescent="0.25">
      <c r="A21" s="2">
        <v>20</v>
      </c>
      <c r="B21" s="2">
        <v>3</v>
      </c>
      <c r="C21" s="2" t="s">
        <v>44</v>
      </c>
      <c r="D21" s="2">
        <v>2</v>
      </c>
      <c r="E21" s="2" t="s">
        <v>27</v>
      </c>
      <c r="F21" s="2" t="s">
        <v>28</v>
      </c>
      <c r="G21" s="3" t="s">
        <v>49</v>
      </c>
      <c r="H21" s="2" t="s">
        <v>50</v>
      </c>
      <c r="I21" s="2"/>
      <c r="J21" s="4"/>
      <c r="K21" s="2"/>
      <c r="L21" s="2"/>
    </row>
    <row r="22" spans="1:12" ht="24" x14ac:dyDescent="0.25">
      <c r="A22" s="2">
        <v>21</v>
      </c>
      <c r="B22" s="2">
        <v>3</v>
      </c>
      <c r="C22" s="2" t="s">
        <v>44</v>
      </c>
      <c r="D22" s="2">
        <v>2</v>
      </c>
      <c r="E22" s="2" t="s">
        <v>27</v>
      </c>
      <c r="F22" s="2" t="s">
        <v>28</v>
      </c>
      <c r="G22" s="3" t="s">
        <v>51</v>
      </c>
      <c r="H22" s="2" t="s">
        <v>52</v>
      </c>
      <c r="I22" s="2"/>
      <c r="J22" s="4"/>
      <c r="K22" s="2"/>
      <c r="L22" s="2"/>
    </row>
    <row r="23" spans="1:12" ht="36" x14ac:dyDescent="0.25">
      <c r="A23" s="2">
        <v>22</v>
      </c>
      <c r="B23" s="2">
        <v>3</v>
      </c>
      <c r="C23" s="2" t="s">
        <v>44</v>
      </c>
      <c r="D23" s="2">
        <v>2</v>
      </c>
      <c r="E23" s="2" t="s">
        <v>31</v>
      </c>
      <c r="F23" s="2" t="s">
        <v>32</v>
      </c>
      <c r="G23" s="3" t="s">
        <v>53</v>
      </c>
      <c r="H23" s="2"/>
      <c r="I23" s="2"/>
      <c r="J23" s="4"/>
      <c r="K23" s="2"/>
      <c r="L23" s="2"/>
    </row>
    <row r="24" spans="1:12" ht="24" x14ac:dyDescent="0.25">
      <c r="A24" s="2">
        <v>23</v>
      </c>
      <c r="B24" s="2">
        <v>3</v>
      </c>
      <c r="C24" s="2" t="s">
        <v>44</v>
      </c>
      <c r="D24" s="2">
        <v>2</v>
      </c>
      <c r="E24" s="2" t="s">
        <v>34</v>
      </c>
      <c r="F24" s="2" t="s">
        <v>54</v>
      </c>
      <c r="G24" s="3"/>
      <c r="H24" s="2" t="s">
        <v>36</v>
      </c>
      <c r="I24" s="2"/>
      <c r="J24" s="4"/>
      <c r="K24" s="2"/>
      <c r="L24" s="2"/>
    </row>
    <row r="25" spans="1:12" ht="48" x14ac:dyDescent="0.25">
      <c r="A25" s="2">
        <v>24</v>
      </c>
      <c r="B25" s="2">
        <v>4</v>
      </c>
      <c r="C25" s="2" t="s">
        <v>55</v>
      </c>
      <c r="D25" s="2">
        <v>2</v>
      </c>
      <c r="E25" s="2" t="s">
        <v>22</v>
      </c>
      <c r="F25" s="2" t="s">
        <v>56</v>
      </c>
      <c r="G25" s="3"/>
      <c r="H25" s="2"/>
      <c r="I25" s="2"/>
      <c r="J25" s="4"/>
      <c r="K25" s="2"/>
      <c r="L25" s="2"/>
    </row>
    <row r="26" spans="1:12" ht="24" x14ac:dyDescent="0.25">
      <c r="A26" s="2">
        <v>25</v>
      </c>
      <c r="B26" s="2">
        <v>4</v>
      </c>
      <c r="C26" s="2" t="s">
        <v>55</v>
      </c>
      <c r="D26" s="2">
        <v>2</v>
      </c>
      <c r="E26" s="2" t="s">
        <v>24</v>
      </c>
      <c r="F26" s="2" t="s">
        <v>25</v>
      </c>
      <c r="G26" s="3" t="s">
        <v>57</v>
      </c>
      <c r="H26" s="2"/>
      <c r="I26" s="2"/>
      <c r="J26" s="4"/>
      <c r="K26" s="2"/>
      <c r="L26" s="2"/>
    </row>
    <row r="27" spans="1:12" ht="24" x14ac:dyDescent="0.25">
      <c r="A27" s="2">
        <v>26</v>
      </c>
      <c r="B27" s="2">
        <v>4</v>
      </c>
      <c r="C27" s="2" t="s">
        <v>55</v>
      </c>
      <c r="D27" s="2">
        <v>2</v>
      </c>
      <c r="E27" s="2" t="s">
        <v>27</v>
      </c>
      <c r="F27" s="2" t="s">
        <v>28</v>
      </c>
      <c r="G27" s="3" t="s">
        <v>58</v>
      </c>
      <c r="H27" s="2" t="s">
        <v>59</v>
      </c>
      <c r="I27" s="2"/>
      <c r="J27" s="4"/>
      <c r="K27" s="2"/>
      <c r="L27" s="2"/>
    </row>
    <row r="28" spans="1:12" ht="36" x14ac:dyDescent="0.25">
      <c r="A28" s="2">
        <v>27</v>
      </c>
      <c r="B28" s="2">
        <v>4</v>
      </c>
      <c r="C28" s="2" t="s">
        <v>55</v>
      </c>
      <c r="D28" s="2">
        <v>2</v>
      </c>
      <c r="E28" s="2" t="s">
        <v>31</v>
      </c>
      <c r="F28" s="2" t="s">
        <v>32</v>
      </c>
      <c r="G28" s="3" t="s">
        <v>60</v>
      </c>
      <c r="H28" s="2"/>
      <c r="I28" s="2"/>
      <c r="J28" s="4"/>
      <c r="K28" s="2"/>
      <c r="L28" s="2"/>
    </row>
    <row r="29" spans="1:12" ht="24" x14ac:dyDescent="0.25">
      <c r="A29" s="2">
        <v>28</v>
      </c>
      <c r="B29" s="2">
        <v>4</v>
      </c>
      <c r="C29" s="2" t="s">
        <v>55</v>
      </c>
      <c r="D29" s="2">
        <v>2</v>
      </c>
      <c r="E29" s="2" t="s">
        <v>34</v>
      </c>
      <c r="F29" s="2" t="s">
        <v>61</v>
      </c>
      <c r="G29" s="3"/>
      <c r="H29" s="2" t="s">
        <v>36</v>
      </c>
      <c r="I29" s="2"/>
      <c r="J29" s="4"/>
      <c r="K29" s="2"/>
      <c r="L29" s="2"/>
    </row>
    <row r="30" spans="1:12" ht="48" x14ac:dyDescent="0.25">
      <c r="A30" s="2">
        <v>29</v>
      </c>
      <c r="B30" s="2">
        <v>5</v>
      </c>
      <c r="C30" s="2" t="s">
        <v>62</v>
      </c>
      <c r="D30" s="2">
        <v>2</v>
      </c>
      <c r="E30" s="2" t="s">
        <v>22</v>
      </c>
      <c r="F30" s="2" t="s">
        <v>63</v>
      </c>
      <c r="G30" s="3"/>
      <c r="H30" s="2"/>
      <c r="I30" s="2"/>
      <c r="J30" s="4"/>
      <c r="K30" s="2"/>
      <c r="L30" s="2"/>
    </row>
    <row r="31" spans="1:12" ht="36" x14ac:dyDescent="0.25">
      <c r="A31" s="2">
        <v>30</v>
      </c>
      <c r="B31" s="2">
        <v>5</v>
      </c>
      <c r="C31" s="2" t="s">
        <v>62</v>
      </c>
      <c r="D31" s="2">
        <v>2</v>
      </c>
      <c r="E31" s="2" t="s">
        <v>24</v>
      </c>
      <c r="F31" s="2" t="s">
        <v>25</v>
      </c>
      <c r="G31" s="3" t="s">
        <v>64</v>
      </c>
      <c r="H31" s="2"/>
      <c r="I31" s="2"/>
      <c r="J31" s="4"/>
      <c r="K31" s="2"/>
      <c r="L31" s="2"/>
    </row>
    <row r="32" spans="1:12" ht="24" x14ac:dyDescent="0.25">
      <c r="A32" s="2">
        <v>31</v>
      </c>
      <c r="B32" s="2">
        <v>5</v>
      </c>
      <c r="C32" s="2" t="s">
        <v>62</v>
      </c>
      <c r="D32" s="2">
        <v>2</v>
      </c>
      <c r="E32" s="2" t="s">
        <v>27</v>
      </c>
      <c r="F32" s="2" t="s">
        <v>28</v>
      </c>
      <c r="G32" s="3" t="s">
        <v>65</v>
      </c>
      <c r="H32" s="2" t="s">
        <v>66</v>
      </c>
      <c r="I32" s="2"/>
      <c r="J32" s="4"/>
      <c r="K32" s="2"/>
      <c r="L32" s="2"/>
    </row>
    <row r="33" spans="1:12" x14ac:dyDescent="0.25">
      <c r="A33" s="2">
        <v>32</v>
      </c>
      <c r="B33" s="2">
        <v>5</v>
      </c>
      <c r="C33" s="2" t="s">
        <v>62</v>
      </c>
      <c r="D33" s="2">
        <v>2</v>
      </c>
      <c r="E33" s="2" t="s">
        <v>31</v>
      </c>
      <c r="F33" s="2" t="s">
        <v>32</v>
      </c>
      <c r="G33" s="3" t="s">
        <v>67</v>
      </c>
      <c r="H33" s="2"/>
      <c r="I33" s="2"/>
      <c r="J33" s="4"/>
      <c r="K33" s="2"/>
      <c r="L33" s="2"/>
    </row>
    <row r="34" spans="1:12" ht="24" x14ac:dyDescent="0.25">
      <c r="A34" s="2">
        <v>33</v>
      </c>
      <c r="B34" s="2">
        <v>5</v>
      </c>
      <c r="C34" s="2" t="s">
        <v>62</v>
      </c>
      <c r="D34" s="2">
        <v>2</v>
      </c>
      <c r="E34" s="2" t="s">
        <v>34</v>
      </c>
      <c r="F34" s="2" t="s">
        <v>68</v>
      </c>
      <c r="G34" s="3"/>
      <c r="H34" s="2" t="s">
        <v>36</v>
      </c>
      <c r="I34" s="2"/>
      <c r="J34" s="4"/>
      <c r="K34" s="2"/>
      <c r="L34" s="2"/>
    </row>
    <row r="35" spans="1:12" ht="48" x14ac:dyDescent="0.25">
      <c r="A35" s="2">
        <v>34</v>
      </c>
      <c r="B35" s="2">
        <v>6</v>
      </c>
      <c r="C35" s="2" t="s">
        <v>69</v>
      </c>
      <c r="D35" s="2">
        <v>2</v>
      </c>
      <c r="E35" s="2" t="s">
        <v>22</v>
      </c>
      <c r="F35" s="2" t="s">
        <v>70</v>
      </c>
      <c r="G35" s="3"/>
      <c r="H35" s="2"/>
      <c r="I35" s="2"/>
      <c r="J35" s="4"/>
      <c r="K35" s="2"/>
      <c r="L35" s="2"/>
    </row>
    <row r="36" spans="1:12" ht="72" x14ac:dyDescent="0.25">
      <c r="A36" s="2">
        <v>35</v>
      </c>
      <c r="B36" s="2">
        <v>6</v>
      </c>
      <c r="C36" s="2" t="s">
        <v>69</v>
      </c>
      <c r="D36" s="2">
        <v>2</v>
      </c>
      <c r="E36" s="2" t="s">
        <v>24</v>
      </c>
      <c r="F36" s="2" t="s">
        <v>25</v>
      </c>
      <c r="G36" s="3" t="s">
        <v>71</v>
      </c>
      <c r="H36" s="2"/>
      <c r="I36" s="2"/>
      <c r="J36" s="4"/>
      <c r="K36" s="2"/>
      <c r="L36" s="2"/>
    </row>
    <row r="37" spans="1:12" ht="24" x14ac:dyDescent="0.25">
      <c r="A37" s="2">
        <v>36</v>
      </c>
      <c r="B37" s="2">
        <v>6</v>
      </c>
      <c r="C37" s="2" t="s">
        <v>69</v>
      </c>
      <c r="D37" s="2">
        <v>2</v>
      </c>
      <c r="E37" s="2" t="s">
        <v>27</v>
      </c>
      <c r="F37" s="2" t="s">
        <v>28</v>
      </c>
      <c r="G37" s="3" t="s">
        <v>72</v>
      </c>
      <c r="H37" s="2" t="s">
        <v>73</v>
      </c>
      <c r="I37" s="2"/>
      <c r="J37" s="4"/>
      <c r="K37" s="2"/>
      <c r="L37" s="2"/>
    </row>
    <row r="38" spans="1:12" ht="24" x14ac:dyDescent="0.25">
      <c r="A38" s="2">
        <v>37</v>
      </c>
      <c r="B38" s="2">
        <v>6</v>
      </c>
      <c r="C38" s="2" t="s">
        <v>69</v>
      </c>
      <c r="D38" s="2">
        <v>2</v>
      </c>
      <c r="E38" s="2" t="s">
        <v>27</v>
      </c>
      <c r="F38" s="2" t="s">
        <v>28</v>
      </c>
      <c r="G38" s="3" t="s">
        <v>74</v>
      </c>
      <c r="H38" s="2" t="s">
        <v>75</v>
      </c>
      <c r="I38" s="2"/>
      <c r="J38" s="4"/>
      <c r="K38" s="2"/>
      <c r="L38" s="2"/>
    </row>
    <row r="39" spans="1:12" ht="36" x14ac:dyDescent="0.25">
      <c r="A39" s="2">
        <v>38</v>
      </c>
      <c r="B39" s="2">
        <v>6</v>
      </c>
      <c r="C39" s="2" t="s">
        <v>69</v>
      </c>
      <c r="D39" s="2">
        <v>2</v>
      </c>
      <c r="E39" s="2" t="s">
        <v>31</v>
      </c>
      <c r="F39" s="2" t="s">
        <v>32</v>
      </c>
      <c r="G39" s="3" t="s">
        <v>76</v>
      </c>
      <c r="H39" s="2"/>
      <c r="I39" s="2"/>
      <c r="J39" s="4"/>
      <c r="K39" s="2"/>
      <c r="L39" s="2"/>
    </row>
    <row r="40" spans="1:12" ht="24" x14ac:dyDescent="0.25">
      <c r="A40" s="2">
        <v>39</v>
      </c>
      <c r="B40" s="2">
        <v>6</v>
      </c>
      <c r="C40" s="2" t="s">
        <v>69</v>
      </c>
      <c r="D40" s="2">
        <v>2</v>
      </c>
      <c r="E40" s="2" t="s">
        <v>34</v>
      </c>
      <c r="F40" s="2" t="s">
        <v>77</v>
      </c>
      <c r="G40" s="3"/>
      <c r="H40" s="2" t="s">
        <v>36</v>
      </c>
      <c r="I40" s="2"/>
      <c r="J40" s="4"/>
      <c r="K40" s="2"/>
      <c r="L40" s="2"/>
    </row>
    <row r="41" spans="1:12" ht="60" x14ac:dyDescent="0.25">
      <c r="A41" s="2">
        <v>40</v>
      </c>
      <c r="B41" s="2">
        <v>7</v>
      </c>
      <c r="C41" s="2" t="s">
        <v>78</v>
      </c>
      <c r="D41" s="2">
        <v>3</v>
      </c>
      <c r="E41" s="2" t="s">
        <v>22</v>
      </c>
      <c r="F41" s="2" t="s">
        <v>79</v>
      </c>
      <c r="G41" s="3"/>
      <c r="H41" s="2"/>
      <c r="I41" s="2"/>
      <c r="J41" s="4"/>
      <c r="K41" s="2"/>
      <c r="L41" s="2"/>
    </row>
    <row r="42" spans="1:12" ht="36" x14ac:dyDescent="0.25">
      <c r="A42" s="2">
        <v>41</v>
      </c>
      <c r="B42" s="2">
        <v>7</v>
      </c>
      <c r="C42" s="2" t="s">
        <v>78</v>
      </c>
      <c r="D42" s="2">
        <v>3</v>
      </c>
      <c r="E42" s="2" t="s">
        <v>24</v>
      </c>
      <c r="F42" s="2" t="s">
        <v>25</v>
      </c>
      <c r="G42" s="3" t="s">
        <v>80</v>
      </c>
      <c r="H42" s="2"/>
      <c r="I42" s="2"/>
      <c r="J42" s="4"/>
      <c r="K42" s="2"/>
      <c r="L42" s="2"/>
    </row>
    <row r="43" spans="1:12" ht="24" x14ac:dyDescent="0.25">
      <c r="A43" s="2">
        <v>42</v>
      </c>
      <c r="B43" s="2">
        <v>7</v>
      </c>
      <c r="C43" s="2" t="s">
        <v>78</v>
      </c>
      <c r="D43" s="2">
        <v>3</v>
      </c>
      <c r="E43" s="2" t="s">
        <v>27</v>
      </c>
      <c r="F43" s="2" t="s">
        <v>28</v>
      </c>
      <c r="G43" s="3" t="s">
        <v>81</v>
      </c>
      <c r="H43" s="2" t="s">
        <v>82</v>
      </c>
      <c r="I43" s="2"/>
      <c r="J43" s="4"/>
      <c r="K43" s="2"/>
      <c r="L43" s="2"/>
    </row>
    <row r="44" spans="1:12" ht="24" x14ac:dyDescent="0.25">
      <c r="A44" s="2">
        <v>43</v>
      </c>
      <c r="B44" s="2">
        <v>7</v>
      </c>
      <c r="C44" s="2" t="s">
        <v>78</v>
      </c>
      <c r="D44" s="2">
        <v>3</v>
      </c>
      <c r="E44" s="2" t="s">
        <v>27</v>
      </c>
      <c r="F44" s="2" t="s">
        <v>28</v>
      </c>
      <c r="G44" s="3" t="s">
        <v>83</v>
      </c>
      <c r="H44" s="2" t="s">
        <v>84</v>
      </c>
      <c r="I44" s="2"/>
      <c r="J44" s="4"/>
      <c r="K44" s="2"/>
      <c r="L44" s="2"/>
    </row>
    <row r="45" spans="1:12" ht="36" x14ac:dyDescent="0.25">
      <c r="A45" s="2">
        <v>44</v>
      </c>
      <c r="B45" s="2">
        <v>7</v>
      </c>
      <c r="C45" s="2" t="s">
        <v>78</v>
      </c>
      <c r="D45" s="2">
        <v>3</v>
      </c>
      <c r="E45" s="2" t="s">
        <v>31</v>
      </c>
      <c r="F45" s="2" t="s">
        <v>32</v>
      </c>
      <c r="G45" s="3" t="s">
        <v>85</v>
      </c>
      <c r="H45" s="2"/>
      <c r="I45" s="2"/>
      <c r="J45" s="4"/>
      <c r="K45" s="2"/>
      <c r="L45" s="2"/>
    </row>
    <row r="46" spans="1:12" ht="24" x14ac:dyDescent="0.25">
      <c r="A46" s="2">
        <v>45</v>
      </c>
      <c r="B46" s="2">
        <v>7</v>
      </c>
      <c r="C46" s="2" t="s">
        <v>78</v>
      </c>
      <c r="D46" s="2">
        <v>3</v>
      </c>
      <c r="E46" s="2" t="s">
        <v>34</v>
      </c>
      <c r="F46" s="2" t="s">
        <v>86</v>
      </c>
      <c r="G46" s="3"/>
      <c r="H46" s="2" t="s">
        <v>36</v>
      </c>
      <c r="I46" s="2"/>
      <c r="J46" s="4"/>
      <c r="K46" s="2"/>
      <c r="L46" s="2"/>
    </row>
    <row r="47" spans="1:12" ht="48" x14ac:dyDescent="0.25">
      <c r="A47" s="2">
        <v>46</v>
      </c>
      <c r="B47" s="2">
        <v>8</v>
      </c>
      <c r="C47" s="2" t="s">
        <v>87</v>
      </c>
      <c r="D47" s="2">
        <v>3</v>
      </c>
      <c r="E47" s="2" t="s">
        <v>22</v>
      </c>
      <c r="F47" s="2" t="s">
        <v>88</v>
      </c>
      <c r="G47" s="3"/>
      <c r="H47" s="2"/>
      <c r="I47" s="2"/>
      <c r="J47" s="4"/>
      <c r="K47" s="2"/>
      <c r="L47" s="2"/>
    </row>
    <row r="48" spans="1:12" ht="24" x14ac:dyDescent="0.25">
      <c r="A48" s="2">
        <v>47</v>
      </c>
      <c r="B48" s="2">
        <v>8</v>
      </c>
      <c r="C48" s="2" t="s">
        <v>87</v>
      </c>
      <c r="D48" s="2">
        <v>3</v>
      </c>
      <c r="E48" s="2" t="s">
        <v>24</v>
      </c>
      <c r="F48" s="2" t="s">
        <v>25</v>
      </c>
      <c r="G48" s="3" t="s">
        <v>89</v>
      </c>
      <c r="H48" s="2"/>
      <c r="I48" s="2"/>
      <c r="J48" s="4"/>
      <c r="K48" s="2"/>
      <c r="L48" s="2"/>
    </row>
    <row r="49" spans="1:12" ht="24" x14ac:dyDescent="0.25">
      <c r="A49" s="2">
        <v>48</v>
      </c>
      <c r="B49" s="2">
        <v>8</v>
      </c>
      <c r="C49" s="2" t="s">
        <v>87</v>
      </c>
      <c r="D49" s="2">
        <v>3</v>
      </c>
      <c r="E49" s="2" t="s">
        <v>27</v>
      </c>
      <c r="F49" s="2" t="s">
        <v>28</v>
      </c>
      <c r="G49" s="3" t="s">
        <v>90</v>
      </c>
      <c r="H49" s="2" t="s">
        <v>91</v>
      </c>
      <c r="I49" s="2"/>
      <c r="J49" s="4"/>
      <c r="K49" s="2"/>
      <c r="L49" s="2"/>
    </row>
    <row r="50" spans="1:12" ht="24" x14ac:dyDescent="0.25">
      <c r="A50" s="2">
        <v>49</v>
      </c>
      <c r="B50" s="2">
        <v>8</v>
      </c>
      <c r="C50" s="2" t="s">
        <v>87</v>
      </c>
      <c r="D50" s="2">
        <v>3</v>
      </c>
      <c r="E50" s="2" t="s">
        <v>31</v>
      </c>
      <c r="F50" s="2" t="s">
        <v>32</v>
      </c>
      <c r="G50" s="3" t="s">
        <v>92</v>
      </c>
      <c r="H50" s="2"/>
      <c r="I50" s="2"/>
      <c r="J50" s="4"/>
      <c r="K50" s="2"/>
      <c r="L50" s="2"/>
    </row>
    <row r="51" spans="1:12" ht="24" x14ac:dyDescent="0.25">
      <c r="A51" s="2">
        <v>50</v>
      </c>
      <c r="B51" s="2">
        <v>8</v>
      </c>
      <c r="C51" s="2" t="s">
        <v>87</v>
      </c>
      <c r="D51" s="2">
        <v>3</v>
      </c>
      <c r="E51" s="2" t="s">
        <v>34</v>
      </c>
      <c r="F51" s="2" t="s">
        <v>93</v>
      </c>
      <c r="G51" s="3"/>
      <c r="H51" s="2" t="s">
        <v>36</v>
      </c>
      <c r="I51" s="2"/>
      <c r="J51" s="4"/>
      <c r="K51" s="2"/>
      <c r="L51" s="2"/>
    </row>
    <row r="52" spans="1:12" ht="48" x14ac:dyDescent="0.25">
      <c r="A52" s="2">
        <v>51</v>
      </c>
      <c r="B52" s="2">
        <v>9</v>
      </c>
      <c r="C52" s="2" t="s">
        <v>94</v>
      </c>
      <c r="D52" s="2">
        <v>3</v>
      </c>
      <c r="E52" s="2" t="s">
        <v>22</v>
      </c>
      <c r="F52" s="2" t="s">
        <v>95</v>
      </c>
      <c r="G52" s="3"/>
      <c r="H52" s="2"/>
      <c r="I52" s="2"/>
      <c r="J52" s="4"/>
      <c r="K52" s="2"/>
      <c r="L52" s="2"/>
    </row>
    <row r="53" spans="1:12" ht="24" x14ac:dyDescent="0.25">
      <c r="A53" s="2">
        <v>52</v>
      </c>
      <c r="B53" s="2">
        <v>9</v>
      </c>
      <c r="C53" s="2" t="s">
        <v>94</v>
      </c>
      <c r="D53" s="2">
        <v>3</v>
      </c>
      <c r="E53" s="2" t="s">
        <v>24</v>
      </c>
      <c r="F53" s="2" t="s">
        <v>25</v>
      </c>
      <c r="G53" s="3" t="s">
        <v>96</v>
      </c>
      <c r="H53" s="2"/>
      <c r="I53" s="2"/>
      <c r="J53" s="4"/>
      <c r="K53" s="2"/>
      <c r="L53" s="2"/>
    </row>
    <row r="54" spans="1:12" ht="24" x14ac:dyDescent="0.25">
      <c r="A54" s="2">
        <v>53</v>
      </c>
      <c r="B54" s="2">
        <v>9</v>
      </c>
      <c r="C54" s="2" t="s">
        <v>94</v>
      </c>
      <c r="D54" s="2">
        <v>3</v>
      </c>
      <c r="E54" s="2" t="s">
        <v>27</v>
      </c>
      <c r="F54" s="2" t="s">
        <v>28</v>
      </c>
      <c r="G54" s="3" t="s">
        <v>97</v>
      </c>
      <c r="H54" s="2" t="s">
        <v>98</v>
      </c>
      <c r="I54" s="2"/>
      <c r="J54" s="4"/>
      <c r="K54" s="2"/>
      <c r="L54" s="2"/>
    </row>
    <row r="55" spans="1:12" ht="24" x14ac:dyDescent="0.25">
      <c r="A55" s="2">
        <v>54</v>
      </c>
      <c r="B55" s="2">
        <v>9</v>
      </c>
      <c r="C55" s="2" t="s">
        <v>94</v>
      </c>
      <c r="D55" s="2">
        <v>3</v>
      </c>
      <c r="E55" s="2" t="s">
        <v>27</v>
      </c>
      <c r="F55" s="2" t="s">
        <v>28</v>
      </c>
      <c r="G55" s="3" t="s">
        <v>99</v>
      </c>
      <c r="H55" s="2" t="s">
        <v>100</v>
      </c>
      <c r="I55" s="2"/>
      <c r="J55" s="4"/>
      <c r="K55" s="2"/>
      <c r="L55" s="2"/>
    </row>
    <row r="56" spans="1:12" ht="48" x14ac:dyDescent="0.25">
      <c r="A56" s="2">
        <v>55</v>
      </c>
      <c r="B56" s="2">
        <v>9</v>
      </c>
      <c r="C56" s="2" t="s">
        <v>94</v>
      </c>
      <c r="D56" s="2">
        <v>3</v>
      </c>
      <c r="E56" s="2" t="s">
        <v>31</v>
      </c>
      <c r="F56" s="2" t="s">
        <v>32</v>
      </c>
      <c r="G56" s="3" t="s">
        <v>101</v>
      </c>
      <c r="H56" s="2"/>
      <c r="I56" s="2"/>
      <c r="J56" s="4"/>
      <c r="K56" s="2"/>
      <c r="L56" s="2"/>
    </row>
    <row r="57" spans="1:12" ht="24" x14ac:dyDescent="0.25">
      <c r="A57" s="2">
        <v>56</v>
      </c>
      <c r="B57" s="2">
        <v>9</v>
      </c>
      <c r="C57" s="2" t="s">
        <v>94</v>
      </c>
      <c r="D57" s="2">
        <v>3</v>
      </c>
      <c r="E57" s="2" t="s">
        <v>34</v>
      </c>
      <c r="F57" s="2" t="s">
        <v>102</v>
      </c>
      <c r="G57" s="3"/>
      <c r="H57" s="2" t="s">
        <v>36</v>
      </c>
      <c r="I57" s="2"/>
      <c r="J57" s="4"/>
      <c r="K57" s="2"/>
      <c r="L57" s="2"/>
    </row>
    <row r="58" spans="1:12" ht="48" x14ac:dyDescent="0.25">
      <c r="A58" s="2">
        <v>57</v>
      </c>
      <c r="B58" s="2">
        <v>10</v>
      </c>
      <c r="C58" s="2" t="s">
        <v>103</v>
      </c>
      <c r="D58" s="2">
        <v>4</v>
      </c>
      <c r="E58" s="2" t="s">
        <v>22</v>
      </c>
      <c r="F58" s="2" t="s">
        <v>104</v>
      </c>
      <c r="G58" s="3"/>
      <c r="H58" s="2"/>
      <c r="I58" s="2"/>
      <c r="J58" s="4"/>
      <c r="K58" s="2"/>
      <c r="L58" s="2"/>
    </row>
    <row r="59" spans="1:12" ht="36" x14ac:dyDescent="0.25">
      <c r="A59" s="2">
        <v>58</v>
      </c>
      <c r="B59" s="2">
        <v>10</v>
      </c>
      <c r="C59" s="2" t="s">
        <v>103</v>
      </c>
      <c r="D59" s="2">
        <v>4</v>
      </c>
      <c r="E59" s="2" t="s">
        <v>24</v>
      </c>
      <c r="F59" s="2" t="s">
        <v>25</v>
      </c>
      <c r="G59" s="3" t="s">
        <v>105</v>
      </c>
      <c r="H59" s="2"/>
      <c r="I59" s="2"/>
      <c r="J59" s="4"/>
      <c r="K59" s="2"/>
      <c r="L59" s="2"/>
    </row>
    <row r="60" spans="1:12" ht="24" x14ac:dyDescent="0.25">
      <c r="A60" s="2">
        <v>59</v>
      </c>
      <c r="B60" s="2">
        <v>10</v>
      </c>
      <c r="C60" s="2" t="s">
        <v>103</v>
      </c>
      <c r="D60" s="2">
        <v>4</v>
      </c>
      <c r="E60" s="2" t="s">
        <v>27</v>
      </c>
      <c r="F60" s="2" t="s">
        <v>28</v>
      </c>
      <c r="G60" s="3" t="s">
        <v>106</v>
      </c>
      <c r="H60" s="2" t="s">
        <v>107</v>
      </c>
      <c r="I60" s="2"/>
      <c r="J60" s="4"/>
      <c r="K60" s="2"/>
      <c r="L60" s="2"/>
    </row>
    <row r="61" spans="1:12" ht="24" x14ac:dyDescent="0.25">
      <c r="A61" s="2">
        <v>60</v>
      </c>
      <c r="B61" s="2">
        <v>10</v>
      </c>
      <c r="C61" s="2" t="s">
        <v>103</v>
      </c>
      <c r="D61" s="2">
        <v>4</v>
      </c>
      <c r="E61" s="2" t="s">
        <v>27</v>
      </c>
      <c r="F61" s="2" t="s">
        <v>28</v>
      </c>
      <c r="G61" s="3" t="s">
        <v>108</v>
      </c>
      <c r="H61" s="2" t="s">
        <v>109</v>
      </c>
      <c r="I61" s="2"/>
      <c r="J61" s="4"/>
      <c r="K61" s="2"/>
      <c r="L61" s="2"/>
    </row>
    <row r="62" spans="1:12" ht="36" x14ac:dyDescent="0.25">
      <c r="A62" s="2">
        <v>61</v>
      </c>
      <c r="B62" s="2">
        <v>10</v>
      </c>
      <c r="C62" s="2" t="s">
        <v>103</v>
      </c>
      <c r="D62" s="2">
        <v>4</v>
      </c>
      <c r="E62" s="2" t="s">
        <v>31</v>
      </c>
      <c r="F62" s="2" t="s">
        <v>32</v>
      </c>
      <c r="G62" s="3" t="s">
        <v>110</v>
      </c>
      <c r="H62" s="2"/>
      <c r="I62" s="2"/>
      <c r="J62" s="4"/>
      <c r="K62" s="2"/>
      <c r="L62" s="2"/>
    </row>
    <row r="63" spans="1:12" ht="24" x14ac:dyDescent="0.25">
      <c r="A63" s="2">
        <v>62</v>
      </c>
      <c r="B63" s="2">
        <v>10</v>
      </c>
      <c r="C63" s="2" t="s">
        <v>103</v>
      </c>
      <c r="D63" s="2">
        <v>4</v>
      </c>
      <c r="E63" s="2" t="s">
        <v>34</v>
      </c>
      <c r="F63" s="2" t="s">
        <v>111</v>
      </c>
      <c r="G63" s="3"/>
      <c r="H63" s="2" t="s">
        <v>36</v>
      </c>
      <c r="I63" s="2"/>
      <c r="J63" s="4"/>
      <c r="K63" s="2"/>
      <c r="L63" s="2"/>
    </row>
    <row r="64" spans="1:12" ht="48" x14ac:dyDescent="0.25">
      <c r="A64" s="2">
        <v>63</v>
      </c>
      <c r="B64" s="2">
        <v>11</v>
      </c>
      <c r="C64" s="2" t="s">
        <v>112</v>
      </c>
      <c r="D64" s="2">
        <v>4</v>
      </c>
      <c r="E64" s="2" t="s">
        <v>22</v>
      </c>
      <c r="F64" s="2" t="s">
        <v>113</v>
      </c>
      <c r="G64" s="3"/>
      <c r="H64" s="2"/>
      <c r="I64" s="2"/>
      <c r="J64" s="4"/>
      <c r="K64" s="2"/>
      <c r="L64" s="2"/>
    </row>
    <row r="65" spans="1:12" ht="24" x14ac:dyDescent="0.25">
      <c r="A65" s="2">
        <v>64</v>
      </c>
      <c r="B65" s="2">
        <v>11</v>
      </c>
      <c r="C65" s="2" t="s">
        <v>112</v>
      </c>
      <c r="D65" s="2">
        <v>4</v>
      </c>
      <c r="E65" s="2" t="s">
        <v>24</v>
      </c>
      <c r="F65" s="2" t="s">
        <v>25</v>
      </c>
      <c r="G65" s="3" t="s">
        <v>114</v>
      </c>
      <c r="H65" s="2"/>
      <c r="I65" s="2"/>
      <c r="J65" s="4"/>
      <c r="K65" s="2"/>
      <c r="L65" s="2"/>
    </row>
    <row r="66" spans="1:12" ht="24" x14ac:dyDescent="0.25">
      <c r="A66" s="2">
        <v>65</v>
      </c>
      <c r="B66" s="2">
        <v>11</v>
      </c>
      <c r="C66" s="2" t="s">
        <v>112</v>
      </c>
      <c r="D66" s="2">
        <v>4</v>
      </c>
      <c r="E66" s="2" t="s">
        <v>27</v>
      </c>
      <c r="F66" s="2" t="s">
        <v>28</v>
      </c>
      <c r="G66" s="3" t="s">
        <v>115</v>
      </c>
      <c r="H66" s="2" t="s">
        <v>116</v>
      </c>
      <c r="I66" s="2"/>
      <c r="J66" s="4"/>
      <c r="K66" s="2"/>
      <c r="L66" s="2"/>
    </row>
    <row r="67" spans="1:12" ht="36" x14ac:dyDescent="0.25">
      <c r="A67" s="2">
        <v>66</v>
      </c>
      <c r="B67" s="2">
        <v>11</v>
      </c>
      <c r="C67" s="2" t="s">
        <v>112</v>
      </c>
      <c r="D67" s="2">
        <v>4</v>
      </c>
      <c r="E67" s="2" t="s">
        <v>31</v>
      </c>
      <c r="F67" s="2" t="s">
        <v>32</v>
      </c>
      <c r="G67" s="3" t="s">
        <v>117</v>
      </c>
      <c r="H67" s="2"/>
      <c r="I67" s="2"/>
      <c r="J67" s="4"/>
      <c r="K67" s="2"/>
      <c r="L67" s="2"/>
    </row>
    <row r="68" spans="1:12" ht="24" x14ac:dyDescent="0.25">
      <c r="A68" s="2">
        <v>67</v>
      </c>
      <c r="B68" s="2">
        <v>11</v>
      </c>
      <c r="C68" s="2" t="s">
        <v>112</v>
      </c>
      <c r="D68" s="2">
        <v>4</v>
      </c>
      <c r="E68" s="2" t="s">
        <v>34</v>
      </c>
      <c r="F68" s="2" t="s">
        <v>118</v>
      </c>
      <c r="G68" s="3"/>
      <c r="H68" s="2" t="s">
        <v>36</v>
      </c>
      <c r="I68" s="2"/>
      <c r="J68" s="4"/>
      <c r="K68" s="2"/>
      <c r="L68" s="2"/>
    </row>
    <row r="69" spans="1:12" ht="36" x14ac:dyDescent="0.25">
      <c r="A69" s="2">
        <v>68</v>
      </c>
      <c r="B69" s="2" t="s">
        <v>119</v>
      </c>
      <c r="C69" s="2" t="s">
        <v>120</v>
      </c>
      <c r="D69" s="2">
        <v>4</v>
      </c>
      <c r="E69" s="2" t="s">
        <v>119</v>
      </c>
      <c r="F69" s="2" t="s">
        <v>121</v>
      </c>
      <c r="G69" s="3"/>
      <c r="H69" s="2"/>
      <c r="I69" s="2"/>
      <c r="J69" s="4"/>
      <c r="K69" s="2"/>
      <c r="L69" s="2"/>
    </row>
    <row r="70" spans="1:12" ht="24" x14ac:dyDescent="0.25">
      <c r="A70" s="2">
        <v>69</v>
      </c>
      <c r="B70" s="2" t="s">
        <v>119</v>
      </c>
      <c r="C70" s="2" t="s">
        <v>120</v>
      </c>
      <c r="D70" s="2">
        <v>4</v>
      </c>
      <c r="E70" s="2" t="s">
        <v>119</v>
      </c>
      <c r="F70" s="2" t="s">
        <v>122</v>
      </c>
      <c r="G70" s="3"/>
      <c r="H70" s="2"/>
      <c r="I70" s="2"/>
      <c r="J70" s="4"/>
      <c r="K70" s="2"/>
      <c r="L70" s="2"/>
    </row>
    <row r="71" spans="1:12" ht="24" x14ac:dyDescent="0.25">
      <c r="A71" s="2">
        <v>70</v>
      </c>
      <c r="B71" s="2" t="s">
        <v>119</v>
      </c>
      <c r="C71" s="2" t="s">
        <v>120</v>
      </c>
      <c r="D71" s="2">
        <v>4</v>
      </c>
      <c r="E71" s="2" t="s">
        <v>119</v>
      </c>
      <c r="F71" s="2" t="s">
        <v>123</v>
      </c>
      <c r="G71" s="3"/>
      <c r="H71" s="2"/>
      <c r="I71" s="2"/>
      <c r="J71" s="4"/>
      <c r="K71" s="2"/>
      <c r="L71" s="2"/>
    </row>
    <row r="72" spans="1:12" ht="48" x14ac:dyDescent="0.25">
      <c r="A72" s="2">
        <v>71</v>
      </c>
      <c r="B72" s="2" t="s">
        <v>119</v>
      </c>
      <c r="C72" s="2" t="s">
        <v>120</v>
      </c>
      <c r="D72" s="2">
        <v>4</v>
      </c>
      <c r="E72" s="2" t="s">
        <v>119</v>
      </c>
      <c r="F72" s="2" t="s">
        <v>124</v>
      </c>
      <c r="G72" s="3"/>
      <c r="H72" s="2"/>
      <c r="I72" s="2"/>
      <c r="J72" s="4"/>
      <c r="K72" s="2"/>
      <c r="L72" s="2"/>
    </row>
    <row r="73" spans="1:12" ht="24" x14ac:dyDescent="0.25">
      <c r="A73" s="2">
        <v>72</v>
      </c>
      <c r="B73" s="2" t="s">
        <v>119</v>
      </c>
      <c r="C73" s="2" t="s">
        <v>120</v>
      </c>
      <c r="D73" s="2">
        <v>4</v>
      </c>
      <c r="E73" s="2" t="s">
        <v>119</v>
      </c>
      <c r="F73" s="2" t="s">
        <v>125</v>
      </c>
      <c r="G73" s="3"/>
      <c r="H73" s="2"/>
      <c r="I73" s="2"/>
      <c r="J73" s="4"/>
      <c r="K73" s="2"/>
      <c r="L73" s="2"/>
    </row>
    <row r="74" spans="1:12" ht="24" x14ac:dyDescent="0.25">
      <c r="A74" s="2">
        <v>73</v>
      </c>
      <c r="B74" s="2" t="s">
        <v>119</v>
      </c>
      <c r="C74" s="2" t="s">
        <v>120</v>
      </c>
      <c r="D74" s="2">
        <v>4</v>
      </c>
      <c r="E74" s="2" t="s">
        <v>119</v>
      </c>
      <c r="F74" s="2" t="s">
        <v>126</v>
      </c>
      <c r="G74" s="3"/>
      <c r="H74" s="2"/>
      <c r="I74" s="2"/>
      <c r="J74" s="4"/>
      <c r="K74" s="2"/>
      <c r="L74" s="2"/>
    </row>
    <row r="75" spans="1:12" ht="24" x14ac:dyDescent="0.25">
      <c r="A75" s="2">
        <v>74</v>
      </c>
      <c r="B75" s="2" t="s">
        <v>119</v>
      </c>
      <c r="C75" s="2" t="s">
        <v>120</v>
      </c>
      <c r="D75" s="2">
        <v>4</v>
      </c>
      <c r="E75" s="2" t="s">
        <v>119</v>
      </c>
      <c r="F75" s="2" t="s">
        <v>127</v>
      </c>
      <c r="G75" s="3"/>
      <c r="H75" s="2"/>
      <c r="I75" s="2"/>
      <c r="J75" s="4"/>
      <c r="K75" s="2"/>
      <c r="L75" s="2"/>
    </row>
  </sheetData>
  <autoFilter ref="A1:L75" xr:uid="{00000000-0009-0000-0000-000000000000}"/>
  <dataValidations count="1">
    <dataValidation type="list" allowBlank="1" sqref="I2:I75" xr:uid="{00000000-0002-0000-0000-000000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defaultRowHeight="15" x14ac:dyDescent="0.25"/>
  <cols>
    <col min="1" max="1" width="12" customWidth="1"/>
    <col min="2" max="2" width="30" customWidth="1"/>
    <col min="3" max="4" width="8" customWidth="1"/>
    <col min="5" max="5" width="9" customWidth="1"/>
  </cols>
  <sheetData>
    <row r="1" spans="1:5" x14ac:dyDescent="0.25">
      <c r="A1" s="5" t="s">
        <v>1</v>
      </c>
      <c r="B1" s="5" t="s">
        <v>2</v>
      </c>
      <c r="C1" s="5" t="s">
        <v>128</v>
      </c>
      <c r="D1" s="5" t="s">
        <v>8</v>
      </c>
      <c r="E1" s="5" t="s">
        <v>129</v>
      </c>
    </row>
    <row r="2" spans="1:5" x14ac:dyDescent="0.25">
      <c r="A2" s="10" t="s">
        <v>130</v>
      </c>
      <c r="B2" s="11"/>
      <c r="C2" s="11"/>
      <c r="D2" s="11"/>
      <c r="E2" s="11"/>
    </row>
    <row r="3" spans="1:5" x14ac:dyDescent="0.25">
      <c r="A3" s="6">
        <v>0</v>
      </c>
      <c r="B3" s="6" t="s">
        <v>12</v>
      </c>
      <c r="C3" s="6">
        <f>COUNTIF(Checklist!$B:$B,0)</f>
        <v>6</v>
      </c>
      <c r="D3" s="6">
        <f>COUNTIFS(Checklist!$B:$B,0,Checklist!$I:$I,"Yes")</f>
        <v>6</v>
      </c>
      <c r="E3" s="7">
        <f t="shared" ref="E3:E16" si="0">IF(C3=0,0,D3/C3)</f>
        <v>1</v>
      </c>
    </row>
    <row r="4" spans="1:5" x14ac:dyDescent="0.25">
      <c r="A4" s="6">
        <v>1</v>
      </c>
      <c r="B4" s="6" t="s">
        <v>21</v>
      </c>
      <c r="C4" s="6">
        <f>COUNTIF(Checklist!$B:$B,1)</f>
        <v>5</v>
      </c>
      <c r="D4" s="6">
        <f>COUNTIFS(Checklist!$B:$B,1,Checklist!$I:$I,"Yes")</f>
        <v>5</v>
      </c>
      <c r="E4" s="7">
        <f t="shared" si="0"/>
        <v>1</v>
      </c>
    </row>
    <row r="5" spans="1:5" x14ac:dyDescent="0.25">
      <c r="A5" s="6">
        <v>2</v>
      </c>
      <c r="B5" s="6" t="s">
        <v>37</v>
      </c>
      <c r="C5" s="6">
        <f>COUNTIF(Checklist!$B:$B,2)</f>
        <v>5</v>
      </c>
      <c r="D5" s="6">
        <f>COUNTIFS(Checklist!$B:$B,2,Checklist!$I:$I,"Yes")</f>
        <v>3</v>
      </c>
      <c r="E5" s="7">
        <f t="shared" si="0"/>
        <v>0.6</v>
      </c>
    </row>
    <row r="6" spans="1:5" x14ac:dyDescent="0.25">
      <c r="A6" s="6">
        <v>3</v>
      </c>
      <c r="B6" s="6" t="s">
        <v>44</v>
      </c>
      <c r="C6" s="6">
        <f>COUNTIF(Checklist!$B:$B,3)</f>
        <v>7</v>
      </c>
      <c r="D6" s="6">
        <f>COUNTIFS(Checklist!$B:$B,3,Checklist!$I:$I,"Yes")</f>
        <v>0</v>
      </c>
      <c r="E6" s="7">
        <f t="shared" si="0"/>
        <v>0</v>
      </c>
    </row>
    <row r="7" spans="1:5" x14ac:dyDescent="0.25">
      <c r="A7" s="6">
        <v>4</v>
      </c>
      <c r="B7" s="6" t="s">
        <v>55</v>
      </c>
      <c r="C7" s="6">
        <f>COUNTIF(Checklist!$B:$B,4)</f>
        <v>5</v>
      </c>
      <c r="D7" s="6">
        <f>COUNTIFS(Checklist!$B:$B,4,Checklist!$I:$I,"Yes")</f>
        <v>0</v>
      </c>
      <c r="E7" s="7">
        <f t="shared" si="0"/>
        <v>0</v>
      </c>
    </row>
    <row r="8" spans="1:5" x14ac:dyDescent="0.25">
      <c r="A8" s="6">
        <v>5</v>
      </c>
      <c r="B8" s="6" t="s">
        <v>62</v>
      </c>
      <c r="C8" s="6">
        <f>COUNTIF(Checklist!$B:$B,5)</f>
        <v>5</v>
      </c>
      <c r="D8" s="6">
        <f>COUNTIFS(Checklist!$B:$B,5,Checklist!$I:$I,"Yes")</f>
        <v>0</v>
      </c>
      <c r="E8" s="7">
        <f t="shared" si="0"/>
        <v>0</v>
      </c>
    </row>
    <row r="9" spans="1:5" x14ac:dyDescent="0.25">
      <c r="A9" s="6">
        <v>6</v>
      </c>
      <c r="B9" s="6" t="s">
        <v>69</v>
      </c>
      <c r="C9" s="6">
        <f>COUNTIF(Checklist!$B:$B,6)</f>
        <v>6</v>
      </c>
      <c r="D9" s="6">
        <f>COUNTIFS(Checklist!$B:$B,6,Checklist!$I:$I,"Yes")</f>
        <v>0</v>
      </c>
      <c r="E9" s="7">
        <f t="shared" si="0"/>
        <v>0</v>
      </c>
    </row>
    <row r="10" spans="1:5" x14ac:dyDescent="0.25">
      <c r="A10" s="6">
        <v>7</v>
      </c>
      <c r="B10" s="6" t="s">
        <v>78</v>
      </c>
      <c r="C10" s="6">
        <f>COUNTIF(Checklist!$B:$B,7)</f>
        <v>6</v>
      </c>
      <c r="D10" s="6">
        <f>COUNTIFS(Checklist!$B:$B,7,Checklist!$I:$I,"Yes")</f>
        <v>0</v>
      </c>
      <c r="E10" s="7">
        <f t="shared" si="0"/>
        <v>0</v>
      </c>
    </row>
    <row r="11" spans="1:5" x14ac:dyDescent="0.25">
      <c r="A11" s="6">
        <v>8</v>
      </c>
      <c r="B11" s="6" t="s">
        <v>87</v>
      </c>
      <c r="C11" s="6">
        <f>COUNTIF(Checklist!$B:$B,8)</f>
        <v>5</v>
      </c>
      <c r="D11" s="6">
        <f>COUNTIFS(Checklist!$B:$B,8,Checklist!$I:$I,"Yes")</f>
        <v>0</v>
      </c>
      <c r="E11" s="7">
        <f t="shared" si="0"/>
        <v>0</v>
      </c>
    </row>
    <row r="12" spans="1:5" x14ac:dyDescent="0.25">
      <c r="A12" s="6">
        <v>9</v>
      </c>
      <c r="B12" s="6" t="s">
        <v>94</v>
      </c>
      <c r="C12" s="6">
        <f>COUNTIF(Checklist!$B:$B,9)</f>
        <v>6</v>
      </c>
      <c r="D12" s="6">
        <f>COUNTIFS(Checklist!$B:$B,9,Checklist!$I:$I,"Yes")</f>
        <v>0</v>
      </c>
      <c r="E12" s="7">
        <f t="shared" si="0"/>
        <v>0</v>
      </c>
    </row>
    <row r="13" spans="1:5" x14ac:dyDescent="0.25">
      <c r="A13" s="6">
        <v>10</v>
      </c>
      <c r="B13" s="6" t="s">
        <v>103</v>
      </c>
      <c r="C13" s="6">
        <f>COUNTIF(Checklist!$B:$B,10)</f>
        <v>6</v>
      </c>
      <c r="D13" s="6">
        <f>COUNTIFS(Checklist!$B:$B,10,Checklist!$I:$I,"Yes")</f>
        <v>0</v>
      </c>
      <c r="E13" s="7">
        <f t="shared" si="0"/>
        <v>0</v>
      </c>
    </row>
    <row r="14" spans="1:5" x14ac:dyDescent="0.25">
      <c r="A14" s="6">
        <v>11</v>
      </c>
      <c r="B14" s="6" t="s">
        <v>112</v>
      </c>
      <c r="C14" s="6">
        <f>COUNTIF(Checklist!$B:$B,11)</f>
        <v>5</v>
      </c>
      <c r="D14" s="6">
        <f>COUNTIFS(Checklist!$B:$B,11,Checklist!$I:$I,"Yes")</f>
        <v>0</v>
      </c>
      <c r="E14" s="7">
        <f t="shared" si="0"/>
        <v>0</v>
      </c>
    </row>
    <row r="15" spans="1:5" x14ac:dyDescent="0.25">
      <c r="A15" s="6" t="s">
        <v>119</v>
      </c>
      <c r="B15" s="6" t="s">
        <v>120</v>
      </c>
      <c r="C15" s="6">
        <f>COUNTIF(Checklist!$B:$B,"Final")</f>
        <v>7</v>
      </c>
      <c r="D15" s="6">
        <f>COUNTIFS(Checklist!$B:$B,"Final",Checklist!$I:$I,"Yes")</f>
        <v>0</v>
      </c>
      <c r="E15" s="7">
        <f t="shared" si="0"/>
        <v>0</v>
      </c>
    </row>
    <row r="16" spans="1:5" x14ac:dyDescent="0.25">
      <c r="A16" s="8" t="s">
        <v>131</v>
      </c>
      <c r="B16" s="8"/>
      <c r="C16" s="8">
        <f>SUM(C3:C15)</f>
        <v>74</v>
      </c>
      <c r="D16" s="8">
        <f>SUM(D3:D15)</f>
        <v>14</v>
      </c>
      <c r="E16" s="9">
        <f t="shared" si="0"/>
        <v>0.1891891891891892</v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J</cp:lastModifiedBy>
  <dcterms:created xsi:type="dcterms:W3CDTF">2026-10-23T11:15:10Z</dcterms:created>
  <dcterms:modified xsi:type="dcterms:W3CDTF">2026-10-24T11:40:58Z</dcterms:modified>
</cp:coreProperties>
</file>